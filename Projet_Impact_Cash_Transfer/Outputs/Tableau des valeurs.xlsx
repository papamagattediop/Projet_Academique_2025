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a Magatte Diop\Desktop\Etude AS2\SEMESTRE 2\Condditions de vie des ménages\Projet\Outputs\"/>
    </mc:Choice>
  </mc:AlternateContent>
  <xr:revisionPtr revIDLastSave="0" documentId="13_ncr:1_{0CACE6B8-0592-4C85-832E-7661828052FB}" xr6:coauthVersionLast="47" xr6:coauthVersionMax="47" xr10:uidLastSave="{00000000-0000-0000-0000-000000000000}"/>
  <bookViews>
    <workbookView xWindow="-120" yWindow="-120" windowWidth="20730" windowHeight="11160" xr2:uid="{1DC6FBE5-7397-4ACD-B554-72F0735CB4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E8" i="1"/>
  <c r="C8" i="1"/>
  <c r="I5" i="1"/>
  <c r="I6" i="1"/>
  <c r="I7" i="1"/>
  <c r="I4" i="1"/>
  <c r="H4" i="1"/>
  <c r="H5" i="1"/>
  <c r="H6" i="1"/>
  <c r="H7" i="1"/>
  <c r="H8" i="1"/>
  <c r="H3" i="1"/>
  <c r="G5" i="1"/>
  <c r="G6" i="1"/>
  <c r="G7" i="1"/>
  <c r="G8" i="1"/>
  <c r="G4" i="1"/>
  <c r="E5" i="1" l="1"/>
  <c r="E6" i="1"/>
  <c r="E7" i="1"/>
  <c r="E4" i="1"/>
  <c r="C5" i="1"/>
  <c r="C6" i="1"/>
  <c r="C7" i="1"/>
  <c r="C4" i="1"/>
</calcChain>
</file>

<file path=xl/sharedStrings.xml><?xml version="1.0" encoding="utf-8"?>
<sst xmlns="http://schemas.openxmlformats.org/spreadsheetml/2006/main" count="13" uniqueCount="7">
  <si>
    <t>Year</t>
  </si>
  <si>
    <t>Growth</t>
  </si>
  <si>
    <t>Value</t>
  </si>
  <si>
    <t xml:space="preserve">Poulation </t>
  </si>
  <si>
    <t>Indice des prix</t>
  </si>
  <si>
    <t>Pib par tête</t>
  </si>
  <si>
    <t>PIB(milliards de FCFA)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</si>
</sst>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1" xfId="0" applyFill="1" applyBorder="1"/>
    <xf numFmtId="3" fontId="0" fillId="4" borderId="0" xfId="0" applyNumberFormat="1" applyFill="1" applyBorder="1"/>
    <xf numFmtId="2" fontId="0" fillId="4" borderId="0" xfId="0" applyNumberFormat="1" applyFill="1" applyBorder="1"/>
    <xf numFmtId="4" fontId="0" fillId="4" borderId="0" xfId="0" applyNumberFormat="1" applyFill="1" applyBorder="1"/>
    <xf numFmtId="1" fontId="0" fillId="4" borderId="0" xfId="0" applyNumberFormat="1" applyFill="1" applyBorder="1"/>
    <xf numFmtId="0" fontId="0" fillId="4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3" borderId="2" xfId="0" applyFill="1" applyBorder="1"/>
    <xf numFmtId="0" fontId="0" fillId="4" borderId="3" xfId="0" applyFill="1" applyBorder="1"/>
    <xf numFmtId="3" fontId="0" fillId="4" borderId="2" xfId="0" applyNumberFormat="1" applyFill="1" applyBorder="1" applyAlignment="1">
      <alignment horizontal="right"/>
    </xf>
    <xf numFmtId="2" fontId="0" fillId="4" borderId="2" xfId="0" applyNumberFormat="1" applyFill="1" applyBorder="1"/>
    <xf numFmtId="4" fontId="0" fillId="4" borderId="2" xfId="0" applyNumberFormat="1" applyFill="1" applyBorder="1"/>
    <xf numFmtId="1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5ABD-FBD3-42FA-A7A5-00E5FDDC0697}">
  <dimension ref="A1:I8"/>
  <sheetViews>
    <sheetView tabSelected="1" workbookViewId="0">
      <selection activeCell="K5" sqref="K5"/>
    </sheetView>
  </sheetViews>
  <sheetFormatPr baseColWidth="10" defaultRowHeight="15" x14ac:dyDescent="0.25"/>
  <cols>
    <col min="1" max="1" width="12" customWidth="1"/>
  </cols>
  <sheetData>
    <row r="1" spans="1:9" x14ac:dyDescent="0.25">
      <c r="A1" s="7"/>
      <c r="B1" s="8" t="s">
        <v>3</v>
      </c>
      <c r="C1" s="8"/>
      <c r="D1" s="8" t="s">
        <v>6</v>
      </c>
      <c r="E1" s="8"/>
      <c r="F1" s="8" t="s">
        <v>4</v>
      </c>
      <c r="G1" s="8"/>
      <c r="H1" s="8" t="s">
        <v>5</v>
      </c>
      <c r="I1" s="8"/>
    </row>
    <row r="2" spans="1:9" ht="15.75" thickBot="1" x14ac:dyDescent="0.3">
      <c r="A2" s="9" t="s">
        <v>0</v>
      </c>
      <c r="B2" s="9" t="s">
        <v>2</v>
      </c>
      <c r="C2" s="9" t="s">
        <v>1</v>
      </c>
      <c r="D2" s="9" t="s">
        <v>2</v>
      </c>
      <c r="E2" s="9" t="s">
        <v>1</v>
      </c>
      <c r="F2" s="9" t="s">
        <v>2</v>
      </c>
      <c r="G2" s="9" t="s">
        <v>1</v>
      </c>
      <c r="H2" s="9" t="s">
        <v>2</v>
      </c>
      <c r="I2" s="9" t="s">
        <v>1</v>
      </c>
    </row>
    <row r="3" spans="1:9" x14ac:dyDescent="0.25">
      <c r="A3" s="1">
        <v>2018</v>
      </c>
      <c r="B3" s="2">
        <v>15726037</v>
      </c>
      <c r="C3" s="6"/>
      <c r="D3" s="4">
        <v>12840.1</v>
      </c>
      <c r="E3" s="6"/>
      <c r="F3" s="3">
        <v>106.243333333333</v>
      </c>
      <c r="G3" s="6"/>
      <c r="H3" s="5">
        <f>(D3/B3)*1000000000</f>
        <v>816486.69655298407</v>
      </c>
      <c r="I3" s="6"/>
    </row>
    <row r="4" spans="1:9" x14ac:dyDescent="0.25">
      <c r="A4" s="1">
        <v>2019</v>
      </c>
      <c r="B4" s="2">
        <v>16209125</v>
      </c>
      <c r="C4" s="3">
        <f>(B4-$B$3)/$B$3</f>
        <v>3.071899169511047E-2</v>
      </c>
      <c r="D4" s="4">
        <v>13712.7</v>
      </c>
      <c r="E4" s="3">
        <f>(D4-$D$3)/$D$3</f>
        <v>6.7958972282147367E-2</v>
      </c>
      <c r="F4" s="3">
        <v>105.56579307416666</v>
      </c>
      <c r="G4" s="3">
        <f>(F4-$F$3)/$F$3</f>
        <v>-6.3772496391899464E-3</v>
      </c>
      <c r="H4" s="5">
        <f t="shared" ref="H4:H8" si="0">(D4/B4)*1000000000</f>
        <v>845986.44282155891</v>
      </c>
      <c r="I4" s="3">
        <f>(H4-$H$3)/$H$3</f>
        <v>3.6130100334905491E-2</v>
      </c>
    </row>
    <row r="5" spans="1:9" x14ac:dyDescent="0.25">
      <c r="A5" s="1">
        <v>2020</v>
      </c>
      <c r="B5" s="2">
        <v>16705608</v>
      </c>
      <c r="C5" s="3">
        <f t="shared" ref="C5:C7" si="1">(B5-$B$3)/$B$3</f>
        <v>6.2289755518189355E-2</v>
      </c>
      <c r="D5" s="4">
        <v>14119.4</v>
      </c>
      <c r="E5" s="3">
        <f t="shared" ref="E5:E8" si="2">(D5-$D$3)/$D$3</f>
        <v>9.9633180426943663E-2</v>
      </c>
      <c r="F5" s="3">
        <v>107.40285876833333</v>
      </c>
      <c r="G5" s="3">
        <f t="shared" ref="G5:G8" si="3">(F5-$F$3)/$F$3</f>
        <v>1.0913865356260816E-2</v>
      </c>
      <c r="H5" s="5">
        <f t="shared" si="0"/>
        <v>845189.23226260301</v>
      </c>
      <c r="I5" s="3">
        <f t="shared" ref="I5:I8" si="4">(H5-$H$3)/$H$3</f>
        <v>3.515370897137006E-2</v>
      </c>
    </row>
    <row r="6" spans="1:9" x14ac:dyDescent="0.25">
      <c r="A6" s="1">
        <v>2021</v>
      </c>
      <c r="B6" s="2">
        <v>17215433</v>
      </c>
      <c r="C6" s="3">
        <f t="shared" si="1"/>
        <v>9.470892126223536E-2</v>
      </c>
      <c r="D6" s="4">
        <v>15261.1</v>
      </c>
      <c r="E6" s="3">
        <f t="shared" si="2"/>
        <v>0.18854993341173354</v>
      </c>
      <c r="F6" s="3">
        <v>109.73687574031241</v>
      </c>
      <c r="G6" s="3">
        <f t="shared" si="3"/>
        <v>3.2882462337835407E-2</v>
      </c>
      <c r="H6" s="5">
        <f t="shared" si="0"/>
        <v>886477.84810292022</v>
      </c>
      <c r="I6" s="3">
        <f t="shared" si="4"/>
        <v>8.5722341644294306E-2</v>
      </c>
    </row>
    <row r="7" spans="1:9" x14ac:dyDescent="0.25">
      <c r="A7" s="1">
        <v>2022</v>
      </c>
      <c r="B7" s="2">
        <v>17738795</v>
      </c>
      <c r="C7" s="3">
        <f t="shared" si="1"/>
        <v>0.1279888887454608</v>
      </c>
      <c r="D7" s="4">
        <v>17330.099999999999</v>
      </c>
      <c r="E7" s="3">
        <f t="shared" si="2"/>
        <v>0.3496857501109803</v>
      </c>
      <c r="F7" s="3">
        <v>120.38311744083227</v>
      </c>
      <c r="G7" s="3">
        <f t="shared" si="3"/>
        <v>0.13308867167351029</v>
      </c>
      <c r="H7" s="5">
        <f t="shared" si="0"/>
        <v>976960.38541513099</v>
      </c>
      <c r="I7" s="3">
        <f t="shared" si="4"/>
        <v>0.19654170672912286</v>
      </c>
    </row>
    <row r="8" spans="1:9" ht="15.75" thickBot="1" x14ac:dyDescent="0.3">
      <c r="A8" s="10">
        <v>2023</v>
      </c>
      <c r="B8" s="11">
        <v>18126390</v>
      </c>
      <c r="C8" s="12">
        <f>(B8-$B$3)/$B$3</f>
        <v>0.15263559407878793</v>
      </c>
      <c r="D8" s="13">
        <v>18619.5</v>
      </c>
      <c r="E8" s="12">
        <f>(D8-$D$3)/$D$3</f>
        <v>0.45010552877314036</v>
      </c>
      <c r="F8" s="12">
        <v>127.53</v>
      </c>
      <c r="G8" s="12">
        <f t="shared" si="3"/>
        <v>0.20035766950083522</v>
      </c>
      <c r="H8" s="14">
        <f t="shared" si="0"/>
        <v>1027203.9827014644</v>
      </c>
      <c r="I8" s="12">
        <f>(H8-$H$3)/$H$3</f>
        <v>0.25807803977465826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Magatte Diop</dc:creator>
  <cp:lastModifiedBy>Papa Magatte Diop</cp:lastModifiedBy>
  <dcterms:created xsi:type="dcterms:W3CDTF">2025-06-14T23:40:42Z</dcterms:created>
  <dcterms:modified xsi:type="dcterms:W3CDTF">2025-06-15T14:02:19Z</dcterms:modified>
</cp:coreProperties>
</file>